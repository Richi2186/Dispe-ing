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256\Desktop\"/>
    </mc:Choice>
  </mc:AlternateContent>
  <xr:revisionPtr revIDLastSave="0" documentId="13_ncr:1_{271393A6-6354-4653-B303-D639FC5DF9DA}" xr6:coauthVersionLast="47" xr6:coauthVersionMax="47" xr10:uidLastSave="{00000000-0000-0000-0000-000000000000}"/>
  <bookViews>
    <workbookView xWindow="-120" yWindow="-120" windowWidth="29040" windowHeight="15840" xr2:uid="{C7E0F78B-DB6E-4A61-AF25-E27DB8BEB4F1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G13" i="1"/>
  <c r="A13" i="1"/>
  <c r="K3" i="1"/>
  <c r="C5" i="1"/>
  <c r="AA2" i="1"/>
  <c r="AA3" i="1" s="1"/>
  <c r="M9" i="1" s="1"/>
  <c r="AA4" i="1" l="1"/>
  <c r="P9" i="1" s="1"/>
</calcChain>
</file>

<file path=xl/sharedStrings.xml><?xml version="1.0" encoding="utf-8"?>
<sst xmlns="http://schemas.openxmlformats.org/spreadsheetml/2006/main" count="174" uniqueCount="79">
  <si>
    <t>Výkaz pracovnej činnosti</t>
  </si>
  <si>
    <t>Dátum:</t>
  </si>
  <si>
    <t>Vozidlo:</t>
  </si>
  <si>
    <t>Funkcia pracovníka:</t>
  </si>
  <si>
    <t>operátor dopravy - dispečer</t>
  </si>
  <si>
    <t>HAX - 101</t>
  </si>
  <si>
    <t>Čislo udalosti podľa ASP</t>
  </si>
  <si>
    <t>A-001_2026_09_10</t>
  </si>
  <si>
    <t>Obdobie výkonu práce</t>
  </si>
  <si>
    <t>od:</t>
  </si>
  <si>
    <t>do:</t>
  </si>
  <si>
    <t>hod.</t>
  </si>
  <si>
    <t>min.</t>
  </si>
  <si>
    <t>Výkaz vypracoval</t>
  </si>
  <si>
    <t>Za správnosť</t>
  </si>
  <si>
    <t>Pečiatka organizácie</t>
  </si>
  <si>
    <t>podpis:</t>
  </si>
  <si>
    <t>výpočet času</t>
  </si>
  <si>
    <t>Trvanie výkonu práce</t>
  </si>
  <si>
    <t>vozidlá</t>
  </si>
  <si>
    <t>HAX - 51</t>
  </si>
  <si>
    <t>HAX - 52</t>
  </si>
  <si>
    <t>HAX - 53</t>
  </si>
  <si>
    <t>HAX - 54</t>
  </si>
  <si>
    <t>HAX - 55</t>
  </si>
  <si>
    <t>HAX - 56</t>
  </si>
  <si>
    <t>HAX - 112</t>
  </si>
  <si>
    <t>HAX - 115</t>
  </si>
  <si>
    <t>dispečeri</t>
  </si>
  <si>
    <t>Priezvisko a meno:</t>
  </si>
  <si>
    <t>BĚLOHOUBEK  Peter</t>
  </si>
  <si>
    <t>BENDE  Daniel</t>
  </si>
  <si>
    <t>BÍLENNÝ  Juraj</t>
  </si>
  <si>
    <t>BILEVIC  Viliam</t>
  </si>
  <si>
    <t>BUMBALA  Štefan</t>
  </si>
  <si>
    <t>BUZINKAI  Richard  Mgr.</t>
  </si>
  <si>
    <t>ČECHO  Branislav  Mgr.</t>
  </si>
  <si>
    <t>DOBCSÁNYIOVÁ  Iveta</t>
  </si>
  <si>
    <t>DORIČKA  Peter  Ing.</t>
  </si>
  <si>
    <t>DOROTOVIČ  Maroš</t>
  </si>
  <si>
    <t>DUJČÍK  František</t>
  </si>
  <si>
    <r>
      <t>D</t>
    </r>
    <r>
      <rPr>
        <sz val="10"/>
        <rFont val="MS UI Gothic"/>
        <family val="2"/>
        <charset val="238"/>
      </rPr>
      <t>Ӧ</t>
    </r>
    <r>
      <rPr>
        <sz val="10"/>
        <rFont val="Arial"/>
        <family val="2"/>
        <charset val="238"/>
      </rPr>
      <t>MÉNY  Dominik</t>
    </r>
  </si>
  <si>
    <t>GAÁL  Katarína</t>
  </si>
  <si>
    <t>GAZÁREK  Vladimír</t>
  </si>
  <si>
    <t>HANZL  Jozef</t>
  </si>
  <si>
    <t>HANZL  Tomáš</t>
  </si>
  <si>
    <t>HAVRAN  Roman</t>
  </si>
  <si>
    <t>HUJO  Martin</t>
  </si>
  <si>
    <t>CHMURA  Jozef</t>
  </si>
  <si>
    <t>JAJCAJ  Milan</t>
  </si>
  <si>
    <t>KÁČER  Dušan</t>
  </si>
  <si>
    <t>KOLLÁR  Jozef</t>
  </si>
  <si>
    <t>KOVAČIK  Ľubomír</t>
  </si>
  <si>
    <t>KUZMOVÁ  Edita</t>
  </si>
  <si>
    <t>LAKY  Tomáš</t>
  </si>
  <si>
    <t>LAKY  Vladimír</t>
  </si>
  <si>
    <t>LAURINSKÝ  Jozef</t>
  </si>
  <si>
    <t>LIESKOVSKÝ  Daniel</t>
  </si>
  <si>
    <t>LETKO  Drahomír</t>
  </si>
  <si>
    <t>MADA  Michal</t>
  </si>
  <si>
    <t>MADA  Richard</t>
  </si>
  <si>
    <t>MALIŠ  Martin</t>
  </si>
  <si>
    <t>MATIS  Jozef</t>
  </si>
  <si>
    <t>MIZERA  Martin</t>
  </si>
  <si>
    <t>MÜLLER  Mário</t>
  </si>
  <si>
    <t>PEMČÁK  Filip</t>
  </si>
  <si>
    <t>REGENSBOGEN  Peter</t>
  </si>
  <si>
    <t>RIEGEL  Roman</t>
  </si>
  <si>
    <t>RUMANSKÝ  Ondrej</t>
  </si>
  <si>
    <t>SLÁDEK  Radoslav</t>
  </si>
  <si>
    <t>SZALAY  Ľuboš</t>
  </si>
  <si>
    <t>SZALAYOVÁ  Eva</t>
  </si>
  <si>
    <t>VITTEK  Robert</t>
  </si>
  <si>
    <t>VUKOV  Roman</t>
  </si>
  <si>
    <t>ZÁZIK  Vladimír</t>
  </si>
  <si>
    <t>ZELINKA  Jozef</t>
  </si>
  <si>
    <t>vypracoval</t>
  </si>
  <si>
    <t>za správnosť</t>
  </si>
  <si>
    <t>WISLA  Natan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</si>
</sst>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1" x14ac:knownFonts="1"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0"/>
      <name val="Arial"/>
      <family val="2"/>
      <charset val="238"/>
    </font>
    <font>
      <sz val="10"/>
      <name val="MS UI Gothic"/>
      <family val="2"/>
      <charset val="238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5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2" fillId="0" borderId="15" xfId="0" applyFont="1" applyBorder="1"/>
    <xf numFmtId="0" fontId="2" fillId="0" borderId="16" xfId="0" applyFont="1" applyBorder="1"/>
    <xf numFmtId="164" fontId="0" fillId="0" borderId="0" xfId="0" applyNumberFormat="1"/>
    <xf numFmtId="0" fontId="0" fillId="2" borderId="0" xfId="0" applyFill="1"/>
    <xf numFmtId="0" fontId="7" fillId="0" borderId="0" xfId="1" applyProtection="1">
      <protection hidden="1"/>
    </xf>
    <xf numFmtId="0" fontId="7" fillId="0" borderId="0" xfId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</cellXfs>
  <cellStyles count="2">
    <cellStyle name="Normálna" xfId="0" builtinId="0"/>
    <cellStyle name="Normálna 3" xfId="1" xr:uid="{46973E86-59DC-4CAC-A7A8-C8BFCFAB82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11" dropStyle="combo" dx="22" fmlaLink="$AD$13" fmlaRange="$AD$2:$AD$12" noThreeD="1" sel="1" val="0"/>
</file>

<file path=xl/ctrlProps/ctrlProp2.xml><?xml version="1.0" encoding="utf-8"?>
<formControlPr xmlns="http://schemas.microsoft.com/office/spreadsheetml/2009/9/main" objectType="Drop" dropLines="60" dropStyle="combo" dx="22" fmlaLink="$AF$62" fmlaRange="$AF$2:$AF$61" noThreeD="1" sel="1" val="0"/>
</file>

<file path=xl/ctrlProps/ctrlProp3.xml><?xml version="1.0" encoding="utf-8"?>
<formControlPr xmlns="http://schemas.microsoft.com/office/spreadsheetml/2009/9/main" objectType="Drop" dropLines="60" dropStyle="combo" dx="22" fmlaLink="$AJ$62" fmlaRange="$AJ$2:$AJ$61" noThreeD="1" sel="1" val="0"/>
</file>

<file path=xl/ctrlProps/ctrlProp4.xml><?xml version="1.0" encoding="utf-8"?>
<formControlPr xmlns="http://schemas.microsoft.com/office/spreadsheetml/2009/9/main" objectType="Drop" dropLines="60" dropStyle="combo" dx="22" fmlaLink="$AN$62" fmlaRange="$AN$2:$AN$61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5</xdr:col>
      <xdr:colOff>19050</xdr:colOff>
      <xdr:row>1</xdr:row>
      <xdr:rowOff>180307</xdr:rowOff>
    </xdr:to>
    <xdr:pic>
      <xdr:nvPicPr>
        <xdr:cNvPr id="3" name="Obrázok 2">
          <a:extLst>
            <a:ext uri="{FF2B5EF4-FFF2-40B4-BE49-F238E27FC236}">
              <a16:creationId xmlns:a16="http://schemas.microsoft.com/office/drawing/2014/main" id="{D2E8D631-26E7-4335-A6E9-E611A2447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9050"/>
          <a:ext cx="1266825" cy="35175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</xdr:row>
          <xdr:rowOff>85725</xdr:rowOff>
        </xdr:from>
        <xdr:to>
          <xdr:col>4</xdr:col>
          <xdr:colOff>257175</xdr:colOff>
          <xdr:row>5</xdr:row>
          <xdr:rowOff>104775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2</xdr:row>
          <xdr:rowOff>28575</xdr:rowOff>
        </xdr:from>
        <xdr:to>
          <xdr:col>17</xdr:col>
          <xdr:colOff>228600</xdr:colOff>
          <xdr:row>3</xdr:row>
          <xdr:rowOff>152400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12</xdr:row>
          <xdr:rowOff>57150</xdr:rowOff>
        </xdr:from>
        <xdr:to>
          <xdr:col>5</xdr:col>
          <xdr:colOff>219075</xdr:colOff>
          <xdr:row>13</xdr:row>
          <xdr:rowOff>142875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12</xdr:row>
          <xdr:rowOff>57150</xdr:rowOff>
        </xdr:from>
        <xdr:to>
          <xdr:col>11</xdr:col>
          <xdr:colOff>209550</xdr:colOff>
          <xdr:row>13</xdr:row>
          <xdr:rowOff>142875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7779-41B9-4076-8AF8-B5C32D03B599}">
  <dimension ref="A1:AZ62"/>
  <sheetViews>
    <sheetView tabSelected="1" workbookViewId="0">
      <selection activeCell="U19" sqref="U19"/>
    </sheetView>
  </sheetViews>
  <sheetFormatPr defaultRowHeight="15" x14ac:dyDescent="0.25"/>
  <cols>
    <col min="1" max="4" width="3.7109375" customWidth="1"/>
    <col min="5" max="5" width="4.28515625" customWidth="1"/>
    <col min="6" max="14" width="3.7109375" customWidth="1"/>
    <col min="15" max="15" width="4.42578125" customWidth="1"/>
    <col min="16" max="17" width="3.7109375" customWidth="1"/>
    <col min="18" max="18" width="4.42578125" customWidth="1"/>
    <col min="27" max="52" width="9.140625" hidden="1" customWidth="1"/>
  </cols>
  <sheetData>
    <row r="1" spans="1:40" x14ac:dyDescent="0.25">
      <c r="A1" s="6"/>
      <c r="B1" s="7"/>
      <c r="C1" s="7"/>
      <c r="D1" s="7"/>
      <c r="E1" s="7"/>
      <c r="F1" s="14" t="s">
        <v>0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  <c r="AA1" t="s">
        <v>17</v>
      </c>
      <c r="AC1" t="s">
        <v>19</v>
      </c>
      <c r="AE1" t="s">
        <v>28</v>
      </c>
      <c r="AI1" t="s">
        <v>76</v>
      </c>
      <c r="AM1" t="s">
        <v>77</v>
      </c>
    </row>
    <row r="2" spans="1:40" ht="15.75" thickBot="1" x14ac:dyDescent="0.3">
      <c r="A2" s="3"/>
      <c r="B2" s="4"/>
      <c r="C2" s="4"/>
      <c r="D2" s="4"/>
      <c r="E2" s="4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/>
      <c r="AA2" s="10">
        <f>MOD(K9-H9,1)</f>
        <v>0</v>
      </c>
      <c r="AC2">
        <v>1</v>
      </c>
      <c r="AE2">
        <v>1</v>
      </c>
      <c r="AF2" s="12"/>
      <c r="AI2">
        <v>1</v>
      </c>
      <c r="AJ2" s="12"/>
      <c r="AM2">
        <v>1</v>
      </c>
      <c r="AN2" s="12"/>
    </row>
    <row r="3" spans="1:40" x14ac:dyDescent="0.25">
      <c r="A3" s="8" t="s">
        <v>1</v>
      </c>
      <c r="B3" s="7"/>
      <c r="C3" s="18">
        <f ca="1">TODAY()</f>
        <v>46280</v>
      </c>
      <c r="D3" s="19"/>
      <c r="E3" s="20"/>
      <c r="F3" s="8" t="s">
        <v>29</v>
      </c>
      <c r="G3" s="7"/>
      <c r="H3" s="7"/>
      <c r="I3" s="7"/>
      <c r="J3" s="7"/>
      <c r="K3" s="19">
        <f>VLOOKUP(AF62,AE2:AF61,2,FALSE)</f>
        <v>0</v>
      </c>
      <c r="L3" s="19"/>
      <c r="M3" s="19"/>
      <c r="N3" s="19"/>
      <c r="O3" s="19"/>
      <c r="P3" s="19"/>
      <c r="Q3" s="19"/>
      <c r="R3" s="20"/>
      <c r="AA3">
        <f>HOUR(AA2)</f>
        <v>0</v>
      </c>
      <c r="AC3">
        <v>2</v>
      </c>
      <c r="AD3" t="s">
        <v>20</v>
      </c>
      <c r="AE3">
        <v>2</v>
      </c>
      <c r="AF3" s="13" t="s">
        <v>30</v>
      </c>
      <c r="AI3">
        <v>2</v>
      </c>
      <c r="AJ3" s="13" t="s">
        <v>30</v>
      </c>
      <c r="AM3">
        <v>2</v>
      </c>
      <c r="AN3" s="13" t="s">
        <v>30</v>
      </c>
    </row>
    <row r="4" spans="1:40" ht="15.75" thickBot="1" x14ac:dyDescent="0.3">
      <c r="A4" s="3"/>
      <c r="B4" s="4"/>
      <c r="C4" s="21"/>
      <c r="D4" s="21"/>
      <c r="E4" s="22"/>
      <c r="F4" s="3"/>
      <c r="G4" s="4"/>
      <c r="H4" s="4"/>
      <c r="I4" s="4"/>
      <c r="J4" s="4"/>
      <c r="K4" s="21"/>
      <c r="L4" s="21"/>
      <c r="M4" s="21"/>
      <c r="N4" s="21"/>
      <c r="O4" s="21"/>
      <c r="P4" s="21"/>
      <c r="Q4" s="21"/>
      <c r="R4" s="22"/>
      <c r="AA4">
        <f>MINUTE(AA2)</f>
        <v>0</v>
      </c>
      <c r="AC4">
        <v>3</v>
      </c>
      <c r="AD4" t="s">
        <v>21</v>
      </c>
      <c r="AE4">
        <v>3</v>
      </c>
      <c r="AF4" s="13" t="s">
        <v>31</v>
      </c>
      <c r="AI4">
        <v>3</v>
      </c>
      <c r="AJ4" s="13" t="s">
        <v>31</v>
      </c>
      <c r="AM4">
        <v>3</v>
      </c>
      <c r="AN4" s="13" t="s">
        <v>31</v>
      </c>
    </row>
    <row r="5" spans="1:40" x14ac:dyDescent="0.25">
      <c r="A5" s="8" t="s">
        <v>2</v>
      </c>
      <c r="B5" s="7"/>
      <c r="C5" s="19">
        <f>VLOOKUP(AD13,AC2:AD12,2,FALSE)</f>
        <v>0</v>
      </c>
      <c r="D5" s="19"/>
      <c r="E5" s="20"/>
      <c r="F5" s="8" t="s">
        <v>3</v>
      </c>
      <c r="G5" s="9"/>
      <c r="H5" s="9"/>
      <c r="I5" s="9"/>
      <c r="J5" s="9"/>
      <c r="K5" s="19" t="s">
        <v>4</v>
      </c>
      <c r="L5" s="19"/>
      <c r="M5" s="19"/>
      <c r="N5" s="19"/>
      <c r="O5" s="19"/>
      <c r="P5" s="19"/>
      <c r="Q5" s="19"/>
      <c r="R5" s="20"/>
      <c r="AC5">
        <v>4</v>
      </c>
      <c r="AD5" t="s">
        <v>22</v>
      </c>
      <c r="AE5">
        <v>4</v>
      </c>
      <c r="AF5" s="13" t="s">
        <v>32</v>
      </c>
      <c r="AI5">
        <v>4</v>
      </c>
      <c r="AJ5" s="13" t="s">
        <v>32</v>
      </c>
      <c r="AM5">
        <v>4</v>
      </c>
      <c r="AN5" s="13" t="s">
        <v>32</v>
      </c>
    </row>
    <row r="6" spans="1:40" ht="15.75" thickBot="1" x14ac:dyDescent="0.3">
      <c r="A6" s="3"/>
      <c r="B6" s="4"/>
      <c r="C6" s="21"/>
      <c r="D6" s="21"/>
      <c r="E6" s="22"/>
      <c r="F6" s="3"/>
      <c r="G6" s="4"/>
      <c r="H6" s="4"/>
      <c r="I6" s="4"/>
      <c r="J6" s="4"/>
      <c r="K6" s="21"/>
      <c r="L6" s="21"/>
      <c r="M6" s="21"/>
      <c r="N6" s="21"/>
      <c r="O6" s="21"/>
      <c r="P6" s="21"/>
      <c r="Q6" s="21"/>
      <c r="R6" s="22"/>
      <c r="AC6">
        <v>5</v>
      </c>
      <c r="AD6" t="s">
        <v>23</v>
      </c>
      <c r="AE6">
        <v>5</v>
      </c>
      <c r="AF6" s="13" t="s">
        <v>33</v>
      </c>
      <c r="AI6">
        <v>5</v>
      </c>
      <c r="AJ6" s="13" t="s">
        <v>33</v>
      </c>
      <c r="AM6">
        <v>5</v>
      </c>
      <c r="AN6" s="13" t="s">
        <v>33</v>
      </c>
    </row>
    <row r="7" spans="1:40" ht="15.75" thickBot="1" x14ac:dyDescent="0.3">
      <c r="A7" s="1"/>
      <c r="R7" s="2"/>
      <c r="AA7" s="10"/>
      <c r="AC7">
        <v>6</v>
      </c>
      <c r="AD7" t="s">
        <v>24</v>
      </c>
      <c r="AE7">
        <v>6</v>
      </c>
      <c r="AF7" s="13" t="s">
        <v>34</v>
      </c>
      <c r="AI7">
        <v>6</v>
      </c>
      <c r="AJ7" s="13" t="s">
        <v>34</v>
      </c>
      <c r="AM7">
        <v>6</v>
      </c>
      <c r="AN7" s="13" t="s">
        <v>34</v>
      </c>
    </row>
    <row r="8" spans="1:40" x14ac:dyDescent="0.25">
      <c r="A8" s="23" t="s">
        <v>6</v>
      </c>
      <c r="B8" s="24"/>
      <c r="C8" s="24"/>
      <c r="D8" s="24"/>
      <c r="E8" s="24"/>
      <c r="F8" s="24"/>
      <c r="G8" s="23" t="s">
        <v>8</v>
      </c>
      <c r="H8" s="24"/>
      <c r="I8" s="24"/>
      <c r="J8" s="24"/>
      <c r="K8" s="24"/>
      <c r="L8" s="25"/>
      <c r="M8" s="24" t="s">
        <v>18</v>
      </c>
      <c r="N8" s="24"/>
      <c r="O8" s="24"/>
      <c r="P8" s="24"/>
      <c r="Q8" s="24"/>
      <c r="R8" s="25"/>
      <c r="AC8">
        <v>7</v>
      </c>
      <c r="AD8" t="s">
        <v>25</v>
      </c>
      <c r="AE8">
        <v>7</v>
      </c>
      <c r="AF8" s="13" t="s">
        <v>35</v>
      </c>
      <c r="AI8">
        <v>7</v>
      </c>
      <c r="AJ8" s="13" t="s">
        <v>35</v>
      </c>
      <c r="AM8">
        <v>7</v>
      </c>
      <c r="AN8" s="13" t="s">
        <v>35</v>
      </c>
    </row>
    <row r="9" spans="1:40" ht="15" customHeight="1" x14ac:dyDescent="0.25">
      <c r="A9" s="51" t="s">
        <v>7</v>
      </c>
      <c r="B9" s="52"/>
      <c r="C9" s="52"/>
      <c r="D9" s="52"/>
      <c r="E9" s="52"/>
      <c r="F9" s="52"/>
      <c r="G9" s="26" t="s">
        <v>9</v>
      </c>
      <c r="H9" s="29"/>
      <c r="I9" s="29"/>
      <c r="J9" s="28" t="s">
        <v>10</v>
      </c>
      <c r="K9" s="29"/>
      <c r="L9" s="31"/>
      <c r="M9" s="39">
        <f>AA3</f>
        <v>0</v>
      </c>
      <c r="N9" s="40"/>
      <c r="O9" s="43" t="s">
        <v>11</v>
      </c>
      <c r="P9" s="40">
        <f>AA4</f>
        <v>0</v>
      </c>
      <c r="Q9" s="40"/>
      <c r="R9" s="45" t="s">
        <v>12</v>
      </c>
      <c r="AC9">
        <v>8</v>
      </c>
      <c r="AD9" t="s">
        <v>5</v>
      </c>
      <c r="AE9">
        <v>8</v>
      </c>
      <c r="AF9" s="13" t="s">
        <v>36</v>
      </c>
      <c r="AI9">
        <v>8</v>
      </c>
      <c r="AJ9" s="13" t="s">
        <v>36</v>
      </c>
      <c r="AM9">
        <v>8</v>
      </c>
      <c r="AN9" s="13" t="s">
        <v>36</v>
      </c>
    </row>
    <row r="10" spans="1:40" ht="15.75" customHeight="1" thickBot="1" x14ac:dyDescent="0.3">
      <c r="A10" s="53"/>
      <c r="B10" s="54"/>
      <c r="C10" s="54"/>
      <c r="D10" s="54"/>
      <c r="E10" s="54"/>
      <c r="F10" s="54"/>
      <c r="G10" s="27"/>
      <c r="H10" s="30"/>
      <c r="I10" s="30"/>
      <c r="J10" s="21"/>
      <c r="K10" s="30"/>
      <c r="L10" s="32"/>
      <c r="M10" s="41"/>
      <c r="N10" s="42"/>
      <c r="O10" s="44"/>
      <c r="P10" s="42"/>
      <c r="Q10" s="42"/>
      <c r="R10" s="46"/>
      <c r="AC10">
        <v>9</v>
      </c>
      <c r="AD10" t="s">
        <v>26</v>
      </c>
      <c r="AE10">
        <v>9</v>
      </c>
      <c r="AF10" s="13" t="s">
        <v>37</v>
      </c>
      <c r="AI10">
        <v>9</v>
      </c>
      <c r="AJ10" s="13" t="s">
        <v>37</v>
      </c>
      <c r="AM10">
        <v>9</v>
      </c>
      <c r="AN10" s="13" t="s">
        <v>37</v>
      </c>
    </row>
    <row r="11" spans="1:40" ht="15.75" thickBot="1" x14ac:dyDescent="0.3">
      <c r="A11" s="1"/>
      <c r="R11" s="2"/>
      <c r="AC11">
        <v>10</v>
      </c>
      <c r="AD11" t="s">
        <v>27</v>
      </c>
      <c r="AE11">
        <v>10</v>
      </c>
      <c r="AF11" s="13" t="s">
        <v>38</v>
      </c>
      <c r="AI11">
        <v>10</v>
      </c>
      <c r="AJ11" s="13" t="s">
        <v>38</v>
      </c>
      <c r="AM11">
        <v>10</v>
      </c>
      <c r="AN11" s="13" t="s">
        <v>38</v>
      </c>
    </row>
    <row r="12" spans="1:40" x14ac:dyDescent="0.25">
      <c r="A12" s="23" t="s">
        <v>13</v>
      </c>
      <c r="B12" s="24"/>
      <c r="C12" s="24"/>
      <c r="D12" s="24"/>
      <c r="E12" s="24"/>
      <c r="F12" s="25"/>
      <c r="G12" s="23" t="s">
        <v>14</v>
      </c>
      <c r="H12" s="24"/>
      <c r="I12" s="24"/>
      <c r="J12" s="24"/>
      <c r="K12" s="24"/>
      <c r="L12" s="25"/>
      <c r="M12" s="23" t="s">
        <v>15</v>
      </c>
      <c r="N12" s="24"/>
      <c r="O12" s="24"/>
      <c r="P12" s="24"/>
      <c r="Q12" s="24"/>
      <c r="R12" s="25"/>
      <c r="AC12">
        <v>11</v>
      </c>
      <c r="AE12">
        <v>11</v>
      </c>
      <c r="AF12" s="13" t="s">
        <v>39</v>
      </c>
      <c r="AI12">
        <v>11</v>
      </c>
      <c r="AJ12" s="13" t="s">
        <v>39</v>
      </c>
      <c r="AM12">
        <v>11</v>
      </c>
      <c r="AN12" s="13" t="s">
        <v>39</v>
      </c>
    </row>
    <row r="13" spans="1:40" x14ac:dyDescent="0.25">
      <c r="A13" s="26">
        <f>VLOOKUP(AJ62,AI2:AJ61,2,FALSE)</f>
        <v>0</v>
      </c>
      <c r="B13" s="28"/>
      <c r="C13" s="28"/>
      <c r="D13" s="28"/>
      <c r="E13" s="28"/>
      <c r="F13" s="47"/>
      <c r="G13" s="26">
        <f>VLOOKUP(AN62,AM2:AN61,2,FALSE)</f>
        <v>0</v>
      </c>
      <c r="H13" s="28"/>
      <c r="I13" s="28"/>
      <c r="J13" s="28"/>
      <c r="K13" s="28"/>
      <c r="L13" s="47"/>
      <c r="M13" s="1"/>
      <c r="R13" s="2"/>
      <c r="AD13" s="11">
        <v>1</v>
      </c>
      <c r="AE13">
        <v>12</v>
      </c>
      <c r="AF13" s="13" t="s">
        <v>40</v>
      </c>
      <c r="AI13">
        <v>12</v>
      </c>
      <c r="AJ13" s="13" t="s">
        <v>40</v>
      </c>
      <c r="AM13">
        <v>12</v>
      </c>
      <c r="AN13" s="13" t="s">
        <v>40</v>
      </c>
    </row>
    <row r="14" spans="1:40" x14ac:dyDescent="0.25">
      <c r="A14" s="48"/>
      <c r="B14" s="49"/>
      <c r="C14" s="49"/>
      <c r="D14" s="49"/>
      <c r="E14" s="49"/>
      <c r="F14" s="50"/>
      <c r="G14" s="48"/>
      <c r="H14" s="49"/>
      <c r="I14" s="49"/>
      <c r="J14" s="49"/>
      <c r="K14" s="49"/>
      <c r="L14" s="50"/>
      <c r="M14" s="1"/>
      <c r="R14" s="2"/>
      <c r="AE14">
        <v>13</v>
      </c>
      <c r="AF14" s="13" t="s">
        <v>41</v>
      </c>
      <c r="AI14">
        <v>13</v>
      </c>
      <c r="AJ14" s="13" t="s">
        <v>41</v>
      </c>
      <c r="AM14">
        <v>13</v>
      </c>
      <c r="AN14" s="13" t="s">
        <v>41</v>
      </c>
    </row>
    <row r="15" spans="1:40" x14ac:dyDescent="0.25">
      <c r="A15" s="33" t="s">
        <v>16</v>
      </c>
      <c r="B15" s="34"/>
      <c r="C15" s="34"/>
      <c r="D15" s="34"/>
      <c r="E15" s="34"/>
      <c r="F15" s="35"/>
      <c r="G15" s="33" t="s">
        <v>16</v>
      </c>
      <c r="H15" s="34"/>
      <c r="I15" s="34"/>
      <c r="J15" s="34"/>
      <c r="K15" s="34"/>
      <c r="L15" s="35"/>
      <c r="M15" s="1"/>
      <c r="R15" s="2"/>
      <c r="AE15">
        <v>14</v>
      </c>
      <c r="AF15" s="13" t="s">
        <v>42</v>
      </c>
      <c r="AI15">
        <v>14</v>
      </c>
      <c r="AJ15" s="13" t="s">
        <v>42</v>
      </c>
      <c r="AM15">
        <v>14</v>
      </c>
      <c r="AN15" s="13" t="s">
        <v>42</v>
      </c>
    </row>
    <row r="16" spans="1:40" ht="15.75" thickBot="1" x14ac:dyDescent="0.3">
      <c r="A16" s="36"/>
      <c r="B16" s="37"/>
      <c r="C16" s="37"/>
      <c r="D16" s="37"/>
      <c r="E16" s="37"/>
      <c r="F16" s="38"/>
      <c r="G16" s="36"/>
      <c r="H16" s="37"/>
      <c r="I16" s="37"/>
      <c r="J16" s="37"/>
      <c r="K16" s="37"/>
      <c r="L16" s="38"/>
      <c r="M16" s="3"/>
      <c r="N16" s="4"/>
      <c r="O16" s="4"/>
      <c r="P16" s="4"/>
      <c r="Q16" s="4"/>
      <c r="R16" s="5"/>
      <c r="AE16">
        <v>15</v>
      </c>
      <c r="AF16" s="13" t="s">
        <v>43</v>
      </c>
      <c r="AI16">
        <v>15</v>
      </c>
      <c r="AJ16" s="13" t="s">
        <v>43</v>
      </c>
      <c r="AM16">
        <v>15</v>
      </c>
      <c r="AN16" s="13" t="s">
        <v>43</v>
      </c>
    </row>
    <row r="17" spans="31:40" x14ac:dyDescent="0.25">
      <c r="AE17">
        <v>16</v>
      </c>
      <c r="AF17" s="13" t="s">
        <v>44</v>
      </c>
      <c r="AI17">
        <v>16</v>
      </c>
      <c r="AJ17" s="13" t="s">
        <v>44</v>
      </c>
      <c r="AM17">
        <v>16</v>
      </c>
      <c r="AN17" s="13" t="s">
        <v>44</v>
      </c>
    </row>
    <row r="18" spans="31:40" x14ac:dyDescent="0.25">
      <c r="AE18">
        <v>17</v>
      </c>
      <c r="AF18" s="13" t="s">
        <v>45</v>
      </c>
      <c r="AI18">
        <v>17</v>
      </c>
      <c r="AJ18" s="13" t="s">
        <v>45</v>
      </c>
      <c r="AM18">
        <v>17</v>
      </c>
      <c r="AN18" s="13" t="s">
        <v>45</v>
      </c>
    </row>
    <row r="19" spans="31:40" x14ac:dyDescent="0.25">
      <c r="AE19">
        <v>18</v>
      </c>
      <c r="AF19" s="13" t="s">
        <v>46</v>
      </c>
      <c r="AI19">
        <v>18</v>
      </c>
      <c r="AJ19" s="13" t="s">
        <v>46</v>
      </c>
      <c r="AM19">
        <v>18</v>
      </c>
      <c r="AN19" s="13" t="s">
        <v>46</v>
      </c>
    </row>
    <row r="20" spans="31:40" x14ac:dyDescent="0.25">
      <c r="AE20">
        <v>19</v>
      </c>
      <c r="AF20" s="13" t="s">
        <v>47</v>
      </c>
      <c r="AI20">
        <v>19</v>
      </c>
      <c r="AJ20" s="13" t="s">
        <v>47</v>
      </c>
      <c r="AM20">
        <v>19</v>
      </c>
      <c r="AN20" s="13" t="s">
        <v>47</v>
      </c>
    </row>
    <row r="21" spans="31:40" x14ac:dyDescent="0.25">
      <c r="AE21">
        <v>20</v>
      </c>
      <c r="AF21" s="13" t="s">
        <v>48</v>
      </c>
      <c r="AI21">
        <v>20</v>
      </c>
      <c r="AJ21" s="13" t="s">
        <v>48</v>
      </c>
      <c r="AM21">
        <v>20</v>
      </c>
      <c r="AN21" s="13" t="s">
        <v>48</v>
      </c>
    </row>
    <row r="22" spans="31:40" x14ac:dyDescent="0.25">
      <c r="AE22">
        <v>21</v>
      </c>
      <c r="AF22" s="13" t="s">
        <v>49</v>
      </c>
      <c r="AI22">
        <v>21</v>
      </c>
      <c r="AJ22" s="13" t="s">
        <v>49</v>
      </c>
      <c r="AM22">
        <v>21</v>
      </c>
      <c r="AN22" s="13" t="s">
        <v>49</v>
      </c>
    </row>
    <row r="23" spans="31:40" x14ac:dyDescent="0.25">
      <c r="AE23">
        <v>22</v>
      </c>
      <c r="AF23" s="13" t="s">
        <v>50</v>
      </c>
      <c r="AI23">
        <v>22</v>
      </c>
      <c r="AJ23" s="13" t="s">
        <v>50</v>
      </c>
      <c r="AM23">
        <v>22</v>
      </c>
      <c r="AN23" s="13" t="s">
        <v>50</v>
      </c>
    </row>
    <row r="24" spans="31:40" x14ac:dyDescent="0.25">
      <c r="AE24">
        <v>23</v>
      </c>
      <c r="AF24" s="13" t="s">
        <v>51</v>
      </c>
      <c r="AI24">
        <v>23</v>
      </c>
      <c r="AJ24" s="13" t="s">
        <v>51</v>
      </c>
      <c r="AM24">
        <v>23</v>
      </c>
      <c r="AN24" s="13" t="s">
        <v>51</v>
      </c>
    </row>
    <row r="25" spans="31:40" x14ac:dyDescent="0.25">
      <c r="AE25">
        <v>24</v>
      </c>
      <c r="AF25" s="13" t="s">
        <v>52</v>
      </c>
      <c r="AI25">
        <v>24</v>
      </c>
      <c r="AJ25" s="13" t="s">
        <v>52</v>
      </c>
      <c r="AM25">
        <v>24</v>
      </c>
      <c r="AN25" s="13" t="s">
        <v>52</v>
      </c>
    </row>
    <row r="26" spans="31:40" x14ac:dyDescent="0.25">
      <c r="AE26">
        <v>25</v>
      </c>
      <c r="AF26" s="13" t="s">
        <v>53</v>
      </c>
      <c r="AI26">
        <v>25</v>
      </c>
      <c r="AJ26" s="13" t="s">
        <v>53</v>
      </c>
      <c r="AM26">
        <v>25</v>
      </c>
      <c r="AN26" s="13" t="s">
        <v>53</v>
      </c>
    </row>
    <row r="27" spans="31:40" x14ac:dyDescent="0.25">
      <c r="AE27">
        <v>26</v>
      </c>
      <c r="AF27" s="13" t="s">
        <v>54</v>
      </c>
      <c r="AI27">
        <v>26</v>
      </c>
      <c r="AJ27" s="13" t="s">
        <v>54</v>
      </c>
      <c r="AM27">
        <v>26</v>
      </c>
      <c r="AN27" s="13" t="s">
        <v>54</v>
      </c>
    </row>
    <row r="28" spans="31:40" x14ac:dyDescent="0.25">
      <c r="AE28">
        <v>27</v>
      </c>
      <c r="AF28" s="13" t="s">
        <v>55</v>
      </c>
      <c r="AI28">
        <v>27</v>
      </c>
      <c r="AJ28" s="13" t="s">
        <v>55</v>
      </c>
      <c r="AM28">
        <v>27</v>
      </c>
      <c r="AN28" s="13" t="s">
        <v>55</v>
      </c>
    </row>
    <row r="29" spans="31:40" x14ac:dyDescent="0.25">
      <c r="AE29">
        <v>28</v>
      </c>
      <c r="AF29" s="13" t="s">
        <v>56</v>
      </c>
      <c r="AI29">
        <v>28</v>
      </c>
      <c r="AJ29" s="13" t="s">
        <v>56</v>
      </c>
      <c r="AM29">
        <v>28</v>
      </c>
      <c r="AN29" s="13" t="s">
        <v>56</v>
      </c>
    </row>
    <row r="30" spans="31:40" x14ac:dyDescent="0.25">
      <c r="AE30">
        <v>29</v>
      </c>
      <c r="AF30" s="12" t="s">
        <v>58</v>
      </c>
      <c r="AI30">
        <v>29</v>
      </c>
      <c r="AJ30" s="12" t="s">
        <v>58</v>
      </c>
      <c r="AM30">
        <v>29</v>
      </c>
      <c r="AN30" s="12" t="s">
        <v>58</v>
      </c>
    </row>
    <row r="31" spans="31:40" x14ac:dyDescent="0.25">
      <c r="AE31">
        <v>30</v>
      </c>
      <c r="AF31" s="13" t="s">
        <v>57</v>
      </c>
      <c r="AI31">
        <v>30</v>
      </c>
      <c r="AJ31" s="13" t="s">
        <v>57</v>
      </c>
      <c r="AM31">
        <v>30</v>
      </c>
      <c r="AN31" s="13" t="s">
        <v>57</v>
      </c>
    </row>
    <row r="32" spans="31:40" x14ac:dyDescent="0.25">
      <c r="AE32">
        <v>31</v>
      </c>
      <c r="AF32" s="13" t="s">
        <v>59</v>
      </c>
      <c r="AI32">
        <v>31</v>
      </c>
      <c r="AJ32" s="13" t="s">
        <v>59</v>
      </c>
      <c r="AM32">
        <v>31</v>
      </c>
      <c r="AN32" s="13" t="s">
        <v>59</v>
      </c>
    </row>
    <row r="33" spans="31:40" x14ac:dyDescent="0.25">
      <c r="AE33">
        <v>32</v>
      </c>
      <c r="AF33" s="13" t="s">
        <v>60</v>
      </c>
      <c r="AI33">
        <v>32</v>
      </c>
      <c r="AJ33" s="13" t="s">
        <v>60</v>
      </c>
      <c r="AM33">
        <v>32</v>
      </c>
      <c r="AN33" s="13" t="s">
        <v>60</v>
      </c>
    </row>
    <row r="34" spans="31:40" x14ac:dyDescent="0.25">
      <c r="AE34">
        <v>33</v>
      </c>
      <c r="AF34" s="12" t="s">
        <v>61</v>
      </c>
      <c r="AI34">
        <v>33</v>
      </c>
      <c r="AJ34" s="12" t="s">
        <v>61</v>
      </c>
      <c r="AM34">
        <v>33</v>
      </c>
      <c r="AN34" s="12" t="s">
        <v>61</v>
      </c>
    </row>
    <row r="35" spans="31:40" x14ac:dyDescent="0.25">
      <c r="AE35">
        <v>34</v>
      </c>
      <c r="AF35" s="13" t="s">
        <v>62</v>
      </c>
      <c r="AI35">
        <v>34</v>
      </c>
      <c r="AJ35" s="13" t="s">
        <v>62</v>
      </c>
      <c r="AM35">
        <v>34</v>
      </c>
      <c r="AN35" s="13" t="s">
        <v>62</v>
      </c>
    </row>
    <row r="36" spans="31:40" x14ac:dyDescent="0.25">
      <c r="AE36">
        <v>35</v>
      </c>
      <c r="AF36" s="13" t="s">
        <v>63</v>
      </c>
      <c r="AI36">
        <v>35</v>
      </c>
      <c r="AJ36" s="13" t="s">
        <v>63</v>
      </c>
      <c r="AM36">
        <v>35</v>
      </c>
      <c r="AN36" s="13" t="s">
        <v>63</v>
      </c>
    </row>
    <row r="37" spans="31:40" x14ac:dyDescent="0.25">
      <c r="AE37">
        <v>36</v>
      </c>
      <c r="AF37" s="13" t="s">
        <v>64</v>
      </c>
      <c r="AI37">
        <v>36</v>
      </c>
      <c r="AJ37" s="13" t="s">
        <v>64</v>
      </c>
      <c r="AM37">
        <v>36</v>
      </c>
      <c r="AN37" s="13" t="s">
        <v>64</v>
      </c>
    </row>
    <row r="38" spans="31:40" x14ac:dyDescent="0.25">
      <c r="AE38">
        <v>37</v>
      </c>
      <c r="AF38" s="13" t="s">
        <v>65</v>
      </c>
      <c r="AI38">
        <v>37</v>
      </c>
      <c r="AJ38" s="13" t="s">
        <v>65</v>
      </c>
      <c r="AM38">
        <v>37</v>
      </c>
      <c r="AN38" s="13" t="s">
        <v>65</v>
      </c>
    </row>
    <row r="39" spans="31:40" x14ac:dyDescent="0.25">
      <c r="AE39">
        <v>38</v>
      </c>
      <c r="AF39" s="13" t="s">
        <v>66</v>
      </c>
      <c r="AI39">
        <v>38</v>
      </c>
      <c r="AJ39" s="13" t="s">
        <v>66</v>
      </c>
      <c r="AM39">
        <v>38</v>
      </c>
      <c r="AN39" s="13" t="s">
        <v>66</v>
      </c>
    </row>
    <row r="40" spans="31:40" x14ac:dyDescent="0.25">
      <c r="AE40">
        <v>39</v>
      </c>
      <c r="AF40" s="13" t="s">
        <v>67</v>
      </c>
      <c r="AI40">
        <v>39</v>
      </c>
      <c r="AJ40" s="13" t="s">
        <v>67</v>
      </c>
      <c r="AM40">
        <v>39</v>
      </c>
      <c r="AN40" s="13" t="s">
        <v>67</v>
      </c>
    </row>
    <row r="41" spans="31:40" x14ac:dyDescent="0.25">
      <c r="AE41">
        <v>40</v>
      </c>
      <c r="AF41" s="13" t="s">
        <v>68</v>
      </c>
      <c r="AI41">
        <v>40</v>
      </c>
      <c r="AJ41" s="13" t="s">
        <v>68</v>
      </c>
      <c r="AM41">
        <v>40</v>
      </c>
      <c r="AN41" s="13" t="s">
        <v>68</v>
      </c>
    </row>
    <row r="42" spans="31:40" x14ac:dyDescent="0.25">
      <c r="AE42">
        <v>41</v>
      </c>
      <c r="AF42" s="13" t="s">
        <v>69</v>
      </c>
      <c r="AI42">
        <v>41</v>
      </c>
      <c r="AJ42" s="13" t="s">
        <v>69</v>
      </c>
      <c r="AM42">
        <v>41</v>
      </c>
      <c r="AN42" s="13" t="s">
        <v>69</v>
      </c>
    </row>
    <row r="43" spans="31:40" x14ac:dyDescent="0.25">
      <c r="AE43">
        <v>42</v>
      </c>
      <c r="AF43" s="13" t="s">
        <v>70</v>
      </c>
      <c r="AI43">
        <v>42</v>
      </c>
      <c r="AJ43" s="13" t="s">
        <v>70</v>
      </c>
      <c r="AM43">
        <v>42</v>
      </c>
      <c r="AN43" s="13" t="s">
        <v>70</v>
      </c>
    </row>
    <row r="44" spans="31:40" x14ac:dyDescent="0.25">
      <c r="AE44">
        <v>43</v>
      </c>
      <c r="AF44" s="13" t="s">
        <v>71</v>
      </c>
      <c r="AI44">
        <v>43</v>
      </c>
      <c r="AJ44" s="13" t="s">
        <v>71</v>
      </c>
      <c r="AM44">
        <v>43</v>
      </c>
      <c r="AN44" s="13" t="s">
        <v>71</v>
      </c>
    </row>
    <row r="45" spans="31:40" x14ac:dyDescent="0.25">
      <c r="AE45">
        <v>44</v>
      </c>
      <c r="AF45" s="13" t="s">
        <v>72</v>
      </c>
      <c r="AI45">
        <v>44</v>
      </c>
      <c r="AJ45" s="13" t="s">
        <v>72</v>
      </c>
      <c r="AM45">
        <v>44</v>
      </c>
      <c r="AN45" s="13" t="s">
        <v>72</v>
      </c>
    </row>
    <row r="46" spans="31:40" x14ac:dyDescent="0.25">
      <c r="AE46">
        <v>45</v>
      </c>
      <c r="AF46" s="13" t="s">
        <v>73</v>
      </c>
      <c r="AI46">
        <v>45</v>
      </c>
      <c r="AJ46" s="13" t="s">
        <v>73</v>
      </c>
      <c r="AM46">
        <v>45</v>
      </c>
      <c r="AN46" s="13" t="s">
        <v>73</v>
      </c>
    </row>
    <row r="47" spans="31:40" x14ac:dyDescent="0.25">
      <c r="AE47">
        <v>46</v>
      </c>
      <c r="AF47" s="13" t="s">
        <v>78</v>
      </c>
      <c r="AI47">
        <v>46</v>
      </c>
      <c r="AJ47" s="13" t="s">
        <v>78</v>
      </c>
      <c r="AM47">
        <v>46</v>
      </c>
      <c r="AN47" s="13" t="s">
        <v>78</v>
      </c>
    </row>
    <row r="48" spans="31:40" x14ac:dyDescent="0.25">
      <c r="AE48">
        <v>47</v>
      </c>
      <c r="AF48" s="13" t="s">
        <v>74</v>
      </c>
      <c r="AI48">
        <v>47</v>
      </c>
      <c r="AJ48" s="13" t="s">
        <v>74</v>
      </c>
      <c r="AM48">
        <v>47</v>
      </c>
      <c r="AN48" s="13" t="s">
        <v>74</v>
      </c>
    </row>
    <row r="49" spans="31:40" x14ac:dyDescent="0.25">
      <c r="AE49">
        <v>48</v>
      </c>
      <c r="AF49" s="13" t="s">
        <v>75</v>
      </c>
      <c r="AI49">
        <v>48</v>
      </c>
      <c r="AJ49" s="13" t="s">
        <v>75</v>
      </c>
      <c r="AM49">
        <v>48</v>
      </c>
      <c r="AN49" s="13" t="s">
        <v>75</v>
      </c>
    </row>
    <row r="50" spans="31:40" x14ac:dyDescent="0.25">
      <c r="AE50">
        <v>49</v>
      </c>
      <c r="AF50" s="13"/>
      <c r="AI50">
        <v>49</v>
      </c>
      <c r="AJ50" s="13"/>
      <c r="AM50">
        <v>49</v>
      </c>
      <c r="AN50" s="13"/>
    </row>
    <row r="51" spans="31:40" x14ac:dyDescent="0.25">
      <c r="AE51">
        <v>50</v>
      </c>
      <c r="AF51" s="13"/>
      <c r="AI51">
        <v>50</v>
      </c>
      <c r="AJ51" s="13"/>
      <c r="AM51">
        <v>50</v>
      </c>
      <c r="AN51" s="13"/>
    </row>
    <row r="52" spans="31:40" x14ac:dyDescent="0.25">
      <c r="AE52">
        <v>51</v>
      </c>
      <c r="AF52" s="12"/>
      <c r="AI52">
        <v>51</v>
      </c>
      <c r="AJ52" s="12"/>
      <c r="AM52">
        <v>51</v>
      </c>
      <c r="AN52" s="12"/>
    </row>
    <row r="53" spans="31:40" x14ac:dyDescent="0.25">
      <c r="AE53">
        <v>52</v>
      </c>
      <c r="AF53" s="12"/>
      <c r="AI53">
        <v>52</v>
      </c>
      <c r="AJ53" s="12"/>
      <c r="AM53">
        <v>52</v>
      </c>
      <c r="AN53" s="12"/>
    </row>
    <row r="54" spans="31:40" x14ac:dyDescent="0.25">
      <c r="AE54">
        <v>53</v>
      </c>
      <c r="AF54" s="12"/>
      <c r="AI54">
        <v>53</v>
      </c>
      <c r="AJ54" s="12"/>
      <c r="AM54">
        <v>53</v>
      </c>
      <c r="AN54" s="12"/>
    </row>
    <row r="55" spans="31:40" x14ac:dyDescent="0.25">
      <c r="AE55">
        <v>54</v>
      </c>
      <c r="AI55">
        <v>54</v>
      </c>
      <c r="AM55">
        <v>54</v>
      </c>
    </row>
    <row r="56" spans="31:40" x14ac:dyDescent="0.25">
      <c r="AE56">
        <v>55</v>
      </c>
      <c r="AI56">
        <v>55</v>
      </c>
      <c r="AM56">
        <v>55</v>
      </c>
    </row>
    <row r="57" spans="31:40" x14ac:dyDescent="0.25">
      <c r="AE57">
        <v>56</v>
      </c>
      <c r="AI57">
        <v>56</v>
      </c>
      <c r="AM57">
        <v>56</v>
      </c>
    </row>
    <row r="58" spans="31:40" x14ac:dyDescent="0.25">
      <c r="AE58">
        <v>57</v>
      </c>
      <c r="AI58">
        <v>57</v>
      </c>
      <c r="AM58">
        <v>57</v>
      </c>
    </row>
    <row r="59" spans="31:40" x14ac:dyDescent="0.25">
      <c r="AE59">
        <v>58</v>
      </c>
      <c r="AI59">
        <v>58</v>
      </c>
      <c r="AM59">
        <v>58</v>
      </c>
    </row>
    <row r="60" spans="31:40" x14ac:dyDescent="0.25">
      <c r="AE60">
        <v>59</v>
      </c>
      <c r="AI60">
        <v>59</v>
      </c>
      <c r="AM60">
        <v>59</v>
      </c>
    </row>
    <row r="61" spans="31:40" x14ac:dyDescent="0.25">
      <c r="AE61">
        <v>60</v>
      </c>
      <c r="AI61">
        <v>60</v>
      </c>
      <c r="AM61">
        <v>60</v>
      </c>
    </row>
    <row r="62" spans="31:40" x14ac:dyDescent="0.25">
      <c r="AF62">
        <v>1</v>
      </c>
      <c r="AJ62">
        <v>1</v>
      </c>
      <c r="AN62">
        <v>1</v>
      </c>
    </row>
  </sheetData>
  <sortState xmlns:xlrd2="http://schemas.microsoft.com/office/spreadsheetml/2017/richdata2" ref="AN3:AN49">
    <sortCondition ref="AN3:AN49"/>
  </sortState>
  <mergeCells count="24">
    <mergeCell ref="A15:F16"/>
    <mergeCell ref="G15:L16"/>
    <mergeCell ref="M12:R12"/>
    <mergeCell ref="M9:N10"/>
    <mergeCell ref="P9:Q10"/>
    <mergeCell ref="O9:O10"/>
    <mergeCell ref="R9:R10"/>
    <mergeCell ref="A12:F12"/>
    <mergeCell ref="G12:L12"/>
    <mergeCell ref="A13:F14"/>
    <mergeCell ref="G13:L14"/>
    <mergeCell ref="A9:F10"/>
    <mergeCell ref="G8:L8"/>
    <mergeCell ref="A8:F8"/>
    <mergeCell ref="M8:R8"/>
    <mergeCell ref="G9:G10"/>
    <mergeCell ref="J9:J10"/>
    <mergeCell ref="H9:I10"/>
    <mergeCell ref="K9:L10"/>
    <mergeCell ref="F1:R2"/>
    <mergeCell ref="C3:E4"/>
    <mergeCell ref="K3:R4"/>
    <mergeCell ref="K5:R6"/>
    <mergeCell ref="C5:E6"/>
  </mergeCells>
  <phoneticPr fontId="6" type="noConversion"/>
  <printOptions horizontalCentered="1"/>
  <pageMargins left="0.19685039370078741" right="0.19685039370078741" top="0.19685039370078741" bottom="0.19685039370078741" header="0" footer="0"/>
  <pageSetup paperSize="1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print="0" autoLine="0" autoPict="0">
                <anchor moveWithCells="1">
                  <from>
                    <xdr:col>2</xdr:col>
                    <xdr:colOff>19050</xdr:colOff>
                    <xdr:row>4</xdr:row>
                    <xdr:rowOff>85725</xdr:rowOff>
                  </from>
                  <to>
                    <xdr:col>4</xdr:col>
                    <xdr:colOff>257175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Drop Down 3">
              <controlPr defaultSize="0" print="0" autoLine="0" autoPict="0">
                <anchor moveWithCells="1">
                  <from>
                    <xdr:col>10</xdr:col>
                    <xdr:colOff>57150</xdr:colOff>
                    <xdr:row>2</xdr:row>
                    <xdr:rowOff>28575</xdr:rowOff>
                  </from>
                  <to>
                    <xdr:col>17</xdr:col>
                    <xdr:colOff>228600</xdr:colOff>
                    <xdr:row>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Drop Down 4">
              <controlPr defaultSize="0" print="0" autoLine="0" autoPict="0">
                <anchor moveWithCells="1">
                  <from>
                    <xdr:col>0</xdr:col>
                    <xdr:colOff>19050</xdr:colOff>
                    <xdr:row>12</xdr:row>
                    <xdr:rowOff>57150</xdr:rowOff>
                  </from>
                  <to>
                    <xdr:col>5</xdr:col>
                    <xdr:colOff>219075</xdr:colOff>
                    <xdr:row>13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Drop Down 5">
              <controlPr defaultSize="0" print="0" autoLine="0" autoPict="0">
                <anchor moveWithCells="1">
                  <from>
                    <xdr:col>6</xdr:col>
                    <xdr:colOff>28575</xdr:colOff>
                    <xdr:row>12</xdr:row>
                    <xdr:rowOff>57150</xdr:rowOff>
                  </from>
                  <to>
                    <xdr:col>11</xdr:col>
                    <xdr:colOff>209550</xdr:colOff>
                    <xdr:row>13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t48110</dc:creator>
  <cp:lastModifiedBy>Sládek Radoslav</cp:lastModifiedBy>
  <cp:lastPrinted>2026-09-15T05:42:39Z</cp:lastPrinted>
  <dcterms:created xsi:type="dcterms:W3CDTF">2026-09-14T13:32:47Z</dcterms:created>
  <dcterms:modified xsi:type="dcterms:W3CDTF">2026-09-15T05:48:27Z</dcterms:modified>
</cp:coreProperties>
</file>