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3D09029-7F1F-4612-9B8A-2EB6A5936E7A}" xr6:coauthVersionLast="47" xr6:coauthVersionMax="47" xr10:uidLastSave="{00000000-0000-0000-0000-000000000000}"/>
  <bookViews>
    <workbookView xWindow="-26460" yWindow="0" windowWidth="21135" windowHeight="15600" xr2:uid="{373562B3-80CF-4473-92E0-10396789CD9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G9" i="1" s="1"/>
  <c r="C6" i="1"/>
  <c r="C7" i="1"/>
  <c r="C8" i="1"/>
  <c r="C9" i="1"/>
  <c r="C5" i="1"/>
  <c r="I6" i="1"/>
  <c r="G6" i="1" s="1"/>
  <c r="I7" i="1"/>
  <c r="G7" i="1" s="1"/>
  <c r="I8" i="1"/>
  <c r="G8" i="1" s="1"/>
  <c r="I5" i="1"/>
  <c r="G5" i="1" s="1"/>
  <c r="G15" i="1" l="1"/>
</calcChain>
</file>

<file path=xl/sharedStrings.xml><?xml version="1.0" encoding="utf-8"?>
<sst xmlns="http://schemas.openxmlformats.org/spreadsheetml/2006/main" count="27" uniqueCount="23">
  <si>
    <t>Volací znak</t>
  </si>
  <si>
    <t>Sadzba</t>
  </si>
  <si>
    <t>Suma bez DPH</t>
  </si>
  <si>
    <t>Trvanie</t>
  </si>
  <si>
    <t>Čas                                             od      -       do</t>
  </si>
  <si>
    <t>Suma bez DPH celkom</t>
  </si>
  <si>
    <t>kód dňa</t>
  </si>
  <si>
    <t>deň</t>
  </si>
  <si>
    <t>dátum</t>
  </si>
  <si>
    <t>Po - Pia</t>
  </si>
  <si>
    <t>So</t>
  </si>
  <si>
    <t>Ne</t>
  </si>
  <si>
    <t>Sviatok</t>
  </si>
  <si>
    <t>So sviatok</t>
  </si>
  <si>
    <t>Ne sviatok</t>
  </si>
  <si>
    <t>HAX - 51</t>
  </si>
  <si>
    <t>HAX - 52</t>
  </si>
  <si>
    <t>HAX - 55</t>
  </si>
  <si>
    <t>07:51 - 08:25</t>
  </si>
  <si>
    <t>08:14 - 08:40</t>
  </si>
  <si>
    <t>07:48 - 08:36</t>
  </si>
  <si>
    <t>HAX - 54</t>
  </si>
  <si>
    <t>07:41 - 08:37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</si>
</sst>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400]h:mm:ss\ AM/PM"/>
  </numFmts>
  <fonts count="5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Roboto"/>
    </font>
    <font>
      <sz val="10"/>
      <color theme="1"/>
      <name val="Roboto"/>
    </font>
    <font>
      <b/>
      <sz val="10"/>
      <color theme="1"/>
      <name val="roboto"/>
      <charset val="238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918B-19B7-4BEE-B3B1-08A54EB9E847}">
  <dimension ref="B2:I28"/>
  <sheetViews>
    <sheetView tabSelected="1" workbookViewId="0">
      <selection activeCell="K9" sqref="K9"/>
    </sheetView>
  </sheetViews>
  <sheetFormatPr defaultRowHeight="15" x14ac:dyDescent="0.25"/>
  <cols>
    <col min="2" max="2" width="14.5703125" customWidth="1"/>
    <col min="3" max="3" width="12.5703125" customWidth="1"/>
    <col min="4" max="4" width="5.140625" customWidth="1"/>
    <col min="5" max="5" width="13.42578125" customWidth="1"/>
    <col min="6" max="6" width="11.140625" customWidth="1"/>
    <col min="7" max="7" width="21.28515625" customWidth="1"/>
    <col min="8" max="8" width="15.85546875" style="7" customWidth="1"/>
    <col min="9" max="9" width="14.42578125" customWidth="1"/>
  </cols>
  <sheetData>
    <row r="2" spans="2:9" ht="15.75" thickBot="1" x14ac:dyDescent="0.3"/>
    <row r="3" spans="2:9" ht="15.75" thickBot="1" x14ac:dyDescent="0.3">
      <c r="B3" s="16" t="s">
        <v>8</v>
      </c>
      <c r="C3" s="16" t="s">
        <v>7</v>
      </c>
      <c r="D3" s="17" t="s">
        <v>6</v>
      </c>
      <c r="E3" s="11" t="s">
        <v>0</v>
      </c>
      <c r="F3" s="12" t="s">
        <v>1</v>
      </c>
      <c r="G3" s="11" t="s">
        <v>2</v>
      </c>
      <c r="H3" s="13" t="s">
        <v>4</v>
      </c>
      <c r="I3" s="11" t="s">
        <v>3</v>
      </c>
    </row>
    <row r="4" spans="2:9" ht="15.75" thickBot="1" x14ac:dyDescent="0.3">
      <c r="B4" s="16"/>
      <c r="C4" s="16"/>
      <c r="D4" s="17"/>
      <c r="E4" s="11"/>
      <c r="F4" s="12"/>
      <c r="G4" s="11"/>
      <c r="H4" s="13"/>
      <c r="I4" s="11"/>
    </row>
    <row r="5" spans="2:9" ht="15.75" thickBot="1" x14ac:dyDescent="0.3">
      <c r="B5" s="20">
        <v>46298</v>
      </c>
      <c r="C5" s="14" t="str">
        <f>IF(B5="", "", TEXT(B5, "dddd"))</f>
        <v>sobota</v>
      </c>
      <c r="D5" s="14">
        <v>2</v>
      </c>
      <c r="E5" s="1" t="s">
        <v>15</v>
      </c>
      <c r="F5" s="2">
        <v>40.6</v>
      </c>
      <c r="G5" s="6">
        <f>I5 * 24 * F5 * IF(D5=1, 1, IF(D5=2, 1.5, IF(D5=3, 2, IF(D5=4, 2, IF(D5=24, 2.5, IF(D5=34, 3, 1))))))</f>
        <v>34.509999999999962</v>
      </c>
      <c r="H5" s="8" t="s">
        <v>18</v>
      </c>
      <c r="I5" s="4">
        <f>MOD(TIMEVALUE(TRIM(MID(H5,FIND("-",H5)+1,99)))-TIMEVALUE(TRIM(LEFT(H5,FIND("-",H5)-1))),1)</f>
        <v>2.3611111111111083E-2</v>
      </c>
    </row>
    <row r="6" spans="2:9" ht="15.75" thickBot="1" x14ac:dyDescent="0.3">
      <c r="B6" s="20">
        <v>46298</v>
      </c>
      <c r="C6" s="14" t="str">
        <f t="shared" ref="C6:C9" si="0">IF(B6="", "", TEXT(B6, "dddd"))</f>
        <v>sobota</v>
      </c>
      <c r="D6" s="14">
        <v>2</v>
      </c>
      <c r="E6" s="1" t="s">
        <v>16</v>
      </c>
      <c r="F6" s="2">
        <v>40.6</v>
      </c>
      <c r="G6" s="6">
        <f t="shared" ref="G6:G9" si="1">I6 * 24 * F6 * IF(D6=1, 1, IF(D6=2, 1.5, IF(D6=3, 2, IF(D6=4, 2, IF(D6=24, 2.5, IF(D6=34, 3, 1))))))</f>
        <v>26.38999999999999</v>
      </c>
      <c r="H6" s="8" t="s">
        <v>19</v>
      </c>
      <c r="I6" s="4">
        <f t="shared" ref="I6:I9" si="2">MOD(TIMEVALUE(TRIM(MID(H6,FIND("-",H6)+1,99)))-TIMEVALUE(TRIM(LEFT(H6,FIND("-",H6)-1))),1)</f>
        <v>1.8055555555555547E-2</v>
      </c>
    </row>
    <row r="7" spans="2:9" ht="15.75" thickBot="1" x14ac:dyDescent="0.3">
      <c r="B7" s="20">
        <v>46298</v>
      </c>
      <c r="C7" s="14" t="str">
        <f t="shared" si="0"/>
        <v>sobota</v>
      </c>
      <c r="D7" s="14">
        <v>2</v>
      </c>
      <c r="E7" s="1" t="s">
        <v>17</v>
      </c>
      <c r="F7" s="3">
        <v>40.6</v>
      </c>
      <c r="G7" s="6">
        <f t="shared" si="1"/>
        <v>48.72</v>
      </c>
      <c r="H7" s="8" t="s">
        <v>20</v>
      </c>
      <c r="I7" s="4">
        <f t="shared" si="2"/>
        <v>3.3333333333333326E-2</v>
      </c>
    </row>
    <row r="8" spans="2:9" ht="15.75" thickBot="1" x14ac:dyDescent="0.3">
      <c r="B8" s="20">
        <v>46298</v>
      </c>
      <c r="C8" s="14" t="str">
        <f t="shared" si="0"/>
        <v>sobota</v>
      </c>
      <c r="D8" s="14">
        <v>2</v>
      </c>
      <c r="E8" s="1" t="s">
        <v>21</v>
      </c>
      <c r="F8" s="2">
        <v>40.6</v>
      </c>
      <c r="G8" s="6">
        <f t="shared" si="1"/>
        <v>56.840000000000039</v>
      </c>
      <c r="H8" s="8" t="s">
        <v>22</v>
      </c>
      <c r="I8" s="4">
        <f t="shared" si="2"/>
        <v>3.8888888888888917E-2</v>
      </c>
    </row>
    <row r="9" spans="2:9" ht="15.75" thickBot="1" x14ac:dyDescent="0.3">
      <c r="B9" s="20">
        <v>46298</v>
      </c>
      <c r="C9" s="14" t="str">
        <f t="shared" si="0"/>
        <v>sobota</v>
      </c>
      <c r="D9" s="14">
        <v>2</v>
      </c>
      <c r="E9" s="14" t="s">
        <v>21</v>
      </c>
      <c r="F9" s="19">
        <v>40.6</v>
      </c>
      <c r="G9" s="6">
        <f t="shared" si="1"/>
        <v>56.840000000000039</v>
      </c>
      <c r="H9" s="15" t="s">
        <v>22</v>
      </c>
      <c r="I9" s="4">
        <f t="shared" si="2"/>
        <v>3.8888888888888917E-2</v>
      </c>
    </row>
    <row r="11" spans="2:9" x14ac:dyDescent="0.25">
      <c r="G11" s="5"/>
    </row>
    <row r="13" spans="2:9" ht="15.75" thickBot="1" x14ac:dyDescent="0.3"/>
    <row r="14" spans="2:9" ht="15.75" thickBot="1" x14ac:dyDescent="0.3">
      <c r="G14" s="10" t="s">
        <v>5</v>
      </c>
    </row>
    <row r="15" spans="2:9" ht="15.75" thickBot="1" x14ac:dyDescent="0.3">
      <c r="G15" s="9">
        <f>SUM(G5:G9)</f>
        <v>223.3</v>
      </c>
    </row>
    <row r="20" spans="3:4" ht="15.75" thickBot="1" x14ac:dyDescent="0.3"/>
    <row r="21" spans="3:4" ht="15.75" thickBot="1" x14ac:dyDescent="0.3">
      <c r="C21" s="16" t="s">
        <v>7</v>
      </c>
      <c r="D21" s="17" t="s">
        <v>6</v>
      </c>
    </row>
    <row r="22" spans="3:4" ht="15.75" thickBot="1" x14ac:dyDescent="0.3">
      <c r="C22" s="16"/>
      <c r="D22" s="17"/>
    </row>
    <row r="23" spans="3:4" ht="15.75" thickBot="1" x14ac:dyDescent="0.3">
      <c r="C23" s="14" t="s">
        <v>9</v>
      </c>
      <c r="D23" s="14">
        <v>1</v>
      </c>
    </row>
    <row r="24" spans="3:4" ht="15.75" thickBot="1" x14ac:dyDescent="0.3">
      <c r="C24" s="14" t="s">
        <v>10</v>
      </c>
      <c r="D24" s="14">
        <v>2</v>
      </c>
    </row>
    <row r="25" spans="3:4" ht="15.75" thickBot="1" x14ac:dyDescent="0.3">
      <c r="C25" s="14" t="s">
        <v>11</v>
      </c>
      <c r="D25" s="14">
        <v>3</v>
      </c>
    </row>
    <row r="26" spans="3:4" ht="15.75" thickBot="1" x14ac:dyDescent="0.3">
      <c r="C26" s="14" t="s">
        <v>12</v>
      </c>
      <c r="D26" s="14">
        <v>4</v>
      </c>
    </row>
    <row r="27" spans="3:4" ht="15.75" thickBot="1" x14ac:dyDescent="0.3">
      <c r="C27" s="14" t="s">
        <v>13</v>
      </c>
      <c r="D27" s="14">
        <v>24</v>
      </c>
    </row>
    <row r="28" spans="3:4" ht="15.75" thickBot="1" x14ac:dyDescent="0.3">
      <c r="C28" s="18" t="s">
        <v>14</v>
      </c>
      <c r="D28" s="18">
        <v>34</v>
      </c>
    </row>
  </sheetData>
  <mergeCells count="10">
    <mergeCell ref="D3:D4"/>
    <mergeCell ref="C3:C4"/>
    <mergeCell ref="B3:B4"/>
    <mergeCell ref="C21:C22"/>
    <mergeCell ref="D21:D22"/>
    <mergeCell ref="E3:E4"/>
    <mergeCell ref="F3:F4"/>
    <mergeCell ref="G3:G4"/>
    <mergeCell ref="H3:H4"/>
    <mergeCell ref="I3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Mada</dc:creator>
  <cp:lastModifiedBy>Richard Mada</cp:lastModifiedBy>
  <dcterms:created xsi:type="dcterms:W3CDTF">2026-07-29T13:37:38Z</dcterms:created>
  <dcterms:modified xsi:type="dcterms:W3CDTF">2026-10-05T08:58:48Z</dcterms:modified>
</cp:coreProperties>
</file>